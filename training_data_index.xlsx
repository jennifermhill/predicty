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ankitrao/Desktop/predicty/"/>
    </mc:Choice>
  </mc:AlternateContent>
  <xr:revisionPtr revIDLastSave="0" documentId="8_{A9F54BB5-470E-6C45-BE04-98D4D13C6CA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8" i="1"/>
  <c r="H26" i="1"/>
</calcChain>
</file>

<file path=xl/sharedStrings.xml><?xml version="1.0" encoding="utf-8"?>
<sst xmlns="http://schemas.openxmlformats.org/spreadsheetml/2006/main" count="329" uniqueCount="97">
  <si>
    <t>expt</t>
  </si>
  <si>
    <t>date</t>
  </si>
  <si>
    <t>strain</t>
  </si>
  <si>
    <t>cryo_prep_date</t>
  </si>
  <si>
    <t>well</t>
  </si>
  <si>
    <t>qualitative_density_in_TC_dish</t>
  </si>
  <si>
    <t>objective</t>
  </si>
  <si>
    <t>time_from_setup_to_image_min</t>
  </si>
  <si>
    <t>duration_hr</t>
  </si>
  <si>
    <t>interval_minutes</t>
  </si>
  <si>
    <t>notes_setup</t>
  </si>
  <si>
    <t>ims_incomplete</t>
  </si>
  <si>
    <t>interval_error</t>
  </si>
  <si>
    <t>bench_score_immediate</t>
  </si>
  <si>
    <t>camera</t>
  </si>
  <si>
    <t>binning</t>
  </si>
  <si>
    <t>total_z_um</t>
  </si>
  <si>
    <t>z_step</t>
  </si>
  <si>
    <t>disk</t>
  </si>
  <si>
    <t>mixin41</t>
  </si>
  <si>
    <t>NC28.1</t>
  </si>
  <si>
    <t>2024-01</t>
  </si>
  <si>
    <t>B2</t>
  </si>
  <si>
    <t>high</t>
  </si>
  <si>
    <t>10x</t>
  </si>
  <si>
    <t>fbs</t>
  </si>
  <si>
    <t>iXon</t>
  </si>
  <si>
    <t>2x2</t>
  </si>
  <si>
    <t>CF40</t>
  </si>
  <si>
    <t>NC4</t>
  </si>
  <si>
    <t>B3</t>
  </si>
  <si>
    <t>fbs_culms_slugs_clumps</t>
  </si>
  <si>
    <t>mixin42</t>
  </si>
  <si>
    <t>medium</t>
  </si>
  <si>
    <t>mds_stalks</t>
  </si>
  <si>
    <t>NC105.1</t>
  </si>
  <si>
    <t>mds_clumps</t>
  </si>
  <si>
    <t>mixin43</t>
  </si>
  <si>
    <t>medium_low</t>
  </si>
  <si>
    <t>NA</t>
  </si>
  <si>
    <t>mixin44</t>
  </si>
  <si>
    <t>mixin46</t>
  </si>
  <si>
    <t>25x</t>
  </si>
  <si>
    <t>maybe</t>
  </si>
  <si>
    <t>dried_slugs</t>
  </si>
  <si>
    <t>mixin47</t>
  </si>
  <si>
    <t>2024-02</t>
  </si>
  <si>
    <t>C3</t>
  </si>
  <si>
    <t>20x</t>
  </si>
  <si>
    <t>cell prep bad</t>
  </si>
  <si>
    <t>likely</t>
  </si>
  <si>
    <t>fbs_culms_slugs</t>
  </si>
  <si>
    <t>mixin45</t>
  </si>
  <si>
    <t>C2</t>
  </si>
  <si>
    <t>medium_high</t>
  </si>
  <si>
    <t>slugs</t>
  </si>
  <si>
    <t>mixin49</t>
  </si>
  <si>
    <t>mixin50</t>
  </si>
  <si>
    <t>mixin48</t>
  </si>
  <si>
    <t>mixin51</t>
  </si>
  <si>
    <t>C4</t>
  </si>
  <si>
    <t>crashed around 8 am; reestimate total duration based on number of images!</t>
  </si>
  <si>
    <t>mixin52</t>
  </si>
  <si>
    <t>WS205</t>
  </si>
  <si>
    <t>streams</t>
  </si>
  <si>
    <t>mixin53</t>
  </si>
  <si>
    <t>clumps_streams_slug</t>
  </si>
  <si>
    <t>mixin54</t>
  </si>
  <si>
    <t>fbs_culms</t>
  </si>
  <si>
    <t>mixin55</t>
  </si>
  <si>
    <t>dried</t>
  </si>
  <si>
    <t>mixin56</t>
  </si>
  <si>
    <t>AX2</t>
  </si>
  <si>
    <t>small clumps</t>
  </si>
  <si>
    <t>mixin57</t>
  </si>
  <si>
    <t>B4</t>
  </si>
  <si>
    <t>fbs_mds_streams</t>
  </si>
  <si>
    <t>CF25</t>
  </si>
  <si>
    <t>mixin58</t>
  </si>
  <si>
    <t>low</t>
  </si>
  <si>
    <t>mixin61</t>
  </si>
  <si>
    <t>mixin62</t>
  </si>
  <si>
    <t>mixin63</t>
  </si>
  <si>
    <t>C5</t>
  </si>
  <si>
    <t>fbs_mds</t>
  </si>
  <si>
    <t>mixin64</t>
  </si>
  <si>
    <t>Potomac Emerald in well B5 (no timelapse); Potomac Gold in well C5 (overnight); earthquake partway through expt!</t>
  </si>
  <si>
    <t>culms_slugs_mds</t>
  </si>
  <si>
    <t>1x1</t>
  </si>
  <si>
    <t>mixin65</t>
  </si>
  <si>
    <t>fbs_slugs</t>
  </si>
  <si>
    <t>mds_streams</t>
  </si>
  <si>
    <t>mixin66</t>
  </si>
  <si>
    <t>B5</t>
  </si>
  <si>
    <t>distributed_cells</t>
  </si>
  <si>
    <t>clumps_distributed_cells</t>
  </si>
  <si>
    <t>z_limit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</si>
</sst>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31"/>
  <sheetViews>
    <sheetView tabSelected="1" workbookViewId="0">
      <pane ySplit="1" topLeftCell="A2" activePane="bottomLeft" state="frozen"/>
      <selection pane="bottomLeft" activeCell="A2" sqref="A1:A2"/>
    </sheetView>
  </sheetViews>
  <sheetFormatPr baseColWidth="10" defaultColWidth="8.83203125" defaultRowHeight="15" x14ac:dyDescent="0.2"/>
  <cols>
    <col min="1" max="1" width="12.5" style="11" bestFit="1" customWidth="1"/>
    <col min="2" max="2" width="12.5" style="12" bestFit="1" customWidth="1"/>
    <col min="3" max="7" width="12.5" bestFit="1" customWidth="1"/>
    <col min="8" max="9" width="12.5" style="13" bestFit="1" customWidth="1"/>
    <col min="10" max="10" width="23.6640625" style="13" bestFit="1" customWidth="1"/>
    <col min="11" max="12" width="12.5" bestFit="1" customWidth="1"/>
    <col min="13" max="13" width="12.5" style="14" bestFit="1" customWidth="1"/>
    <col min="14" max="16" width="12.5" bestFit="1" customWidth="1"/>
    <col min="17" max="18" width="12.5" style="13" bestFit="1" customWidth="1"/>
    <col min="19" max="19" width="12.5" bestFit="1" customWidth="1"/>
    <col min="20" max="20" width="12.5" style="14" bestFit="1" customWidth="1"/>
  </cols>
  <sheetData>
    <row r="1" spans="1:20" s="1" customFormat="1" ht="17.25" customHeight="1" x14ac:dyDescent="0.2">
      <c r="A1" s="15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96</v>
      </c>
    </row>
    <row r="2" spans="1:20" ht="20.25" customHeight="1" x14ac:dyDescent="0.2">
      <c r="A2" s="6" t="s">
        <v>19</v>
      </c>
      <c r="B2" s="7">
        <v>45300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8">
        <v>50</v>
      </c>
      <c r="I2" s="8">
        <v>42</v>
      </c>
      <c r="J2" s="8">
        <v>10</v>
      </c>
      <c r="M2" s="9"/>
      <c r="N2" t="s">
        <v>25</v>
      </c>
      <c r="O2" t="s">
        <v>26</v>
      </c>
      <c r="P2" t="s">
        <v>27</v>
      </c>
      <c r="Q2" s="8">
        <v>500</v>
      </c>
      <c r="R2" s="8">
        <v>2</v>
      </c>
      <c r="S2" t="s">
        <v>28</v>
      </c>
      <c r="T2" s="8">
        <v>157</v>
      </c>
    </row>
    <row r="3" spans="1:20" ht="20.25" customHeight="1" x14ac:dyDescent="0.2">
      <c r="A3" s="6" t="s">
        <v>19</v>
      </c>
      <c r="B3" s="7">
        <v>45300</v>
      </c>
      <c r="C3" t="s">
        <v>29</v>
      </c>
      <c r="D3" t="s">
        <v>21</v>
      </c>
      <c r="E3" t="s">
        <v>30</v>
      </c>
      <c r="F3" t="s">
        <v>23</v>
      </c>
      <c r="G3" t="s">
        <v>24</v>
      </c>
      <c r="H3" s="8">
        <v>50</v>
      </c>
      <c r="I3" s="8">
        <v>42</v>
      </c>
      <c r="J3" s="8">
        <v>10</v>
      </c>
      <c r="M3" s="9"/>
      <c r="N3" t="s">
        <v>31</v>
      </c>
      <c r="O3" t="s">
        <v>26</v>
      </c>
      <c r="P3" t="s">
        <v>27</v>
      </c>
      <c r="Q3" s="8">
        <v>500</v>
      </c>
      <c r="R3" s="8">
        <v>2</v>
      </c>
      <c r="S3" t="s">
        <v>28</v>
      </c>
      <c r="T3" s="8">
        <v>134</v>
      </c>
    </row>
    <row r="4" spans="1:20" ht="20.25" customHeight="1" x14ac:dyDescent="0.2">
      <c r="A4" s="6" t="s">
        <v>32</v>
      </c>
      <c r="B4" s="7">
        <v>45303</v>
      </c>
      <c r="C4" t="s">
        <v>29</v>
      </c>
      <c r="D4" t="s">
        <v>21</v>
      </c>
      <c r="E4" t="s">
        <v>22</v>
      </c>
      <c r="F4" t="s">
        <v>33</v>
      </c>
      <c r="G4" t="s">
        <v>24</v>
      </c>
      <c r="H4" s="8">
        <v>25</v>
      </c>
      <c r="I4" s="8">
        <v>66</v>
      </c>
      <c r="J4" s="8">
        <v>10</v>
      </c>
      <c r="M4" s="9"/>
      <c r="N4" t="s">
        <v>34</v>
      </c>
      <c r="O4" t="s">
        <v>26</v>
      </c>
      <c r="P4" t="s">
        <v>27</v>
      </c>
      <c r="Q4" s="8">
        <v>500</v>
      </c>
      <c r="R4" s="8">
        <v>2</v>
      </c>
      <c r="S4" t="s">
        <v>28</v>
      </c>
      <c r="T4" s="8">
        <v>146</v>
      </c>
    </row>
    <row r="5" spans="1:20" ht="20.25" customHeight="1" x14ac:dyDescent="0.2">
      <c r="A5" s="6" t="s">
        <v>32</v>
      </c>
      <c r="B5" s="7">
        <v>45303</v>
      </c>
      <c r="C5" t="s">
        <v>35</v>
      </c>
      <c r="D5" t="s">
        <v>21</v>
      </c>
      <c r="E5" t="s">
        <v>30</v>
      </c>
      <c r="F5" t="s">
        <v>33</v>
      </c>
      <c r="G5" t="s">
        <v>24</v>
      </c>
      <c r="H5" s="8">
        <v>25</v>
      </c>
      <c r="I5" s="8">
        <v>66</v>
      </c>
      <c r="J5" s="8">
        <v>10</v>
      </c>
      <c r="M5" s="9"/>
      <c r="N5" t="s">
        <v>36</v>
      </c>
      <c r="O5" t="s">
        <v>26</v>
      </c>
      <c r="P5" t="s">
        <v>27</v>
      </c>
      <c r="Q5" s="8">
        <v>500</v>
      </c>
      <c r="R5" s="8">
        <v>2</v>
      </c>
      <c r="S5" t="s">
        <v>28</v>
      </c>
      <c r="T5" s="8">
        <v>90</v>
      </c>
    </row>
    <row r="6" spans="1:20" ht="20.25" customHeight="1" x14ac:dyDescent="0.2">
      <c r="A6" s="6" t="s">
        <v>37</v>
      </c>
      <c r="B6" s="7">
        <v>45307</v>
      </c>
      <c r="C6" t="s">
        <v>20</v>
      </c>
      <c r="D6" t="s">
        <v>21</v>
      </c>
      <c r="E6" t="s">
        <v>22</v>
      </c>
      <c r="F6" t="s">
        <v>38</v>
      </c>
      <c r="G6" t="s">
        <v>24</v>
      </c>
      <c r="H6" s="8">
        <v>24</v>
      </c>
      <c r="I6" s="8">
        <v>24</v>
      </c>
      <c r="J6" s="10">
        <v>3.5</v>
      </c>
      <c r="M6" s="9"/>
      <c r="N6" t="s">
        <v>39</v>
      </c>
      <c r="O6" t="s">
        <v>26</v>
      </c>
      <c r="P6" t="s">
        <v>27</v>
      </c>
      <c r="Q6" s="8">
        <v>420</v>
      </c>
      <c r="R6" s="8">
        <v>2</v>
      </c>
      <c r="S6" t="s">
        <v>28</v>
      </c>
      <c r="T6" s="8">
        <v>110</v>
      </c>
    </row>
    <row r="7" spans="1:20" ht="20.25" customHeight="1" x14ac:dyDescent="0.2">
      <c r="A7" s="6" t="s">
        <v>40</v>
      </c>
      <c r="B7" s="7">
        <v>45308</v>
      </c>
      <c r="C7" t="s">
        <v>35</v>
      </c>
      <c r="D7" t="s">
        <v>21</v>
      </c>
      <c r="E7" t="s">
        <v>22</v>
      </c>
      <c r="F7" t="s">
        <v>39</v>
      </c>
      <c r="G7" t="s">
        <v>24</v>
      </c>
      <c r="H7" s="8">
        <v>30</v>
      </c>
      <c r="I7" s="8">
        <v>23</v>
      </c>
      <c r="J7" s="8">
        <v>5</v>
      </c>
      <c r="M7" s="8">
        <v>1</v>
      </c>
      <c r="N7" t="s">
        <v>25</v>
      </c>
      <c r="O7" t="s">
        <v>26</v>
      </c>
      <c r="P7" t="s">
        <v>27</v>
      </c>
      <c r="Q7" s="8">
        <v>380</v>
      </c>
      <c r="R7" s="8">
        <v>2</v>
      </c>
      <c r="S7" t="s">
        <v>28</v>
      </c>
      <c r="T7" s="8">
        <v>118</v>
      </c>
    </row>
    <row r="8" spans="1:20" ht="20.25" customHeight="1" x14ac:dyDescent="0.2">
      <c r="A8" s="6" t="s">
        <v>41</v>
      </c>
      <c r="B8" s="7">
        <v>45323</v>
      </c>
      <c r="C8" t="s">
        <v>20</v>
      </c>
      <c r="D8" t="s">
        <v>21</v>
      </c>
      <c r="E8" t="s">
        <v>30</v>
      </c>
      <c r="F8" t="s">
        <v>33</v>
      </c>
      <c r="G8" t="s">
        <v>42</v>
      </c>
      <c r="H8" s="8">
        <v>25</v>
      </c>
      <c r="I8" s="10">
        <v>2.0499999999999998</v>
      </c>
      <c r="J8" s="8">
        <v>3</v>
      </c>
      <c r="L8" t="s">
        <v>43</v>
      </c>
      <c r="M8" s="9"/>
      <c r="N8" t="s">
        <v>44</v>
      </c>
      <c r="O8" t="s">
        <v>26</v>
      </c>
      <c r="P8" t="s">
        <v>27</v>
      </c>
      <c r="Q8" s="8">
        <v>450</v>
      </c>
      <c r="R8" s="10">
        <v>0.5</v>
      </c>
      <c r="S8" t="s">
        <v>28</v>
      </c>
      <c r="T8" s="9"/>
    </row>
    <row r="9" spans="1:20" ht="20.25" customHeight="1" x14ac:dyDescent="0.2">
      <c r="A9" s="6" t="s">
        <v>45</v>
      </c>
      <c r="B9" s="7">
        <v>45328</v>
      </c>
      <c r="C9" t="s">
        <v>20</v>
      </c>
      <c r="D9" t="s">
        <v>46</v>
      </c>
      <c r="E9" t="s">
        <v>47</v>
      </c>
      <c r="F9" t="s">
        <v>39</v>
      </c>
      <c r="G9" t="s">
        <v>48</v>
      </c>
      <c r="H9" s="8">
        <v>115</v>
      </c>
      <c r="I9" s="8">
        <v>20</v>
      </c>
      <c r="J9" s="8">
        <v>2</v>
      </c>
      <c r="K9" t="s">
        <v>49</v>
      </c>
      <c r="L9" t="s">
        <v>50</v>
      </c>
      <c r="M9" s="9"/>
      <c r="N9" t="s">
        <v>51</v>
      </c>
      <c r="O9" t="s">
        <v>26</v>
      </c>
      <c r="P9" t="s">
        <v>27</v>
      </c>
      <c r="Q9" s="8">
        <v>310</v>
      </c>
      <c r="R9" s="10">
        <v>0.57999999999999996</v>
      </c>
      <c r="S9" t="s">
        <v>28</v>
      </c>
      <c r="T9" s="9"/>
    </row>
    <row r="10" spans="1:20" ht="20.25" customHeight="1" x14ac:dyDescent="0.2">
      <c r="A10" s="6" t="s">
        <v>52</v>
      </c>
      <c r="B10" s="7">
        <v>45321</v>
      </c>
      <c r="C10" t="s">
        <v>35</v>
      </c>
      <c r="D10" t="s">
        <v>21</v>
      </c>
      <c r="E10" t="s">
        <v>53</v>
      </c>
      <c r="F10" t="s">
        <v>54</v>
      </c>
      <c r="G10" t="s">
        <v>24</v>
      </c>
      <c r="H10" s="8">
        <v>49</v>
      </c>
      <c r="I10" s="10">
        <v>19.5</v>
      </c>
      <c r="J10" s="8">
        <v>10</v>
      </c>
      <c r="M10" s="9"/>
      <c r="N10" t="s">
        <v>55</v>
      </c>
      <c r="O10" t="s">
        <v>26</v>
      </c>
      <c r="P10" t="s">
        <v>27</v>
      </c>
      <c r="Q10" s="8">
        <v>400</v>
      </c>
      <c r="R10" s="8">
        <v>2</v>
      </c>
      <c r="S10" t="s">
        <v>28</v>
      </c>
      <c r="T10" s="8">
        <v>116</v>
      </c>
    </row>
    <row r="11" spans="1:20" ht="20.25" customHeight="1" x14ac:dyDescent="0.2">
      <c r="A11" s="6" t="s">
        <v>56</v>
      </c>
      <c r="B11" s="7">
        <v>45330</v>
      </c>
      <c r="C11" t="s">
        <v>20</v>
      </c>
      <c r="D11" t="s">
        <v>46</v>
      </c>
      <c r="E11" t="s">
        <v>22</v>
      </c>
      <c r="F11" t="s">
        <v>39</v>
      </c>
      <c r="G11" t="s">
        <v>24</v>
      </c>
      <c r="H11" s="8">
        <v>34</v>
      </c>
      <c r="I11" s="8">
        <v>24</v>
      </c>
      <c r="J11" s="8">
        <v>10</v>
      </c>
      <c r="M11" s="9"/>
      <c r="N11" t="s">
        <v>25</v>
      </c>
      <c r="O11" t="s">
        <v>26</v>
      </c>
      <c r="P11" t="s">
        <v>27</v>
      </c>
      <c r="Q11" s="8">
        <v>200</v>
      </c>
      <c r="R11" s="8">
        <v>2</v>
      </c>
      <c r="S11" t="s">
        <v>28</v>
      </c>
      <c r="T11" s="8">
        <v>109</v>
      </c>
    </row>
    <row r="12" spans="1:20" ht="20.25" customHeight="1" x14ac:dyDescent="0.2">
      <c r="A12" s="6" t="s">
        <v>57</v>
      </c>
      <c r="B12" s="7">
        <v>45335</v>
      </c>
      <c r="C12" t="s">
        <v>29</v>
      </c>
      <c r="D12" t="s">
        <v>46</v>
      </c>
      <c r="E12" t="s">
        <v>22</v>
      </c>
      <c r="F12" t="s">
        <v>33</v>
      </c>
      <c r="G12" t="s">
        <v>24</v>
      </c>
      <c r="H12" s="8">
        <v>30</v>
      </c>
      <c r="I12" s="8">
        <v>20</v>
      </c>
      <c r="J12" s="8">
        <v>10</v>
      </c>
      <c r="M12" s="9"/>
      <c r="N12" t="s">
        <v>36</v>
      </c>
      <c r="O12" t="s">
        <v>26</v>
      </c>
      <c r="P12" t="s">
        <v>27</v>
      </c>
      <c r="Q12" s="8">
        <v>420</v>
      </c>
      <c r="R12" s="8">
        <v>2</v>
      </c>
      <c r="S12" t="s">
        <v>28</v>
      </c>
      <c r="T12" s="9"/>
    </row>
    <row r="13" spans="1:20" ht="20.25" customHeight="1" x14ac:dyDescent="0.2">
      <c r="A13" s="6" t="s">
        <v>58</v>
      </c>
      <c r="B13" s="7">
        <v>45329</v>
      </c>
      <c r="C13" t="s">
        <v>20</v>
      </c>
      <c r="D13" t="s">
        <v>46</v>
      </c>
      <c r="E13" t="s">
        <v>30</v>
      </c>
      <c r="F13" t="s">
        <v>39</v>
      </c>
      <c r="G13" t="s">
        <v>24</v>
      </c>
      <c r="H13" s="8">
        <v>40</v>
      </c>
      <c r="I13" s="10">
        <v>23.5</v>
      </c>
      <c r="J13" s="8">
        <v>1</v>
      </c>
      <c r="L13" t="s">
        <v>50</v>
      </c>
      <c r="M13" s="9"/>
      <c r="N13" t="s">
        <v>51</v>
      </c>
      <c r="O13" t="s">
        <v>26</v>
      </c>
      <c r="P13" t="s">
        <v>27</v>
      </c>
      <c r="Q13" s="8">
        <v>500</v>
      </c>
      <c r="R13" s="8">
        <v>2</v>
      </c>
      <c r="S13" t="s">
        <v>28</v>
      </c>
      <c r="T13" s="9"/>
    </row>
    <row r="14" spans="1:20" ht="20.25" customHeight="1" x14ac:dyDescent="0.2">
      <c r="A14" s="6" t="s">
        <v>59</v>
      </c>
      <c r="B14" s="7">
        <v>45337</v>
      </c>
      <c r="C14" t="s">
        <v>20</v>
      </c>
      <c r="D14" t="s">
        <v>46</v>
      </c>
      <c r="E14" t="s">
        <v>60</v>
      </c>
      <c r="F14" t="s">
        <v>23</v>
      </c>
      <c r="G14" t="s">
        <v>24</v>
      </c>
      <c r="H14" s="8">
        <v>40</v>
      </c>
      <c r="I14" s="8">
        <v>22</v>
      </c>
      <c r="J14" s="8">
        <v>10</v>
      </c>
      <c r="K14" t="s">
        <v>61</v>
      </c>
      <c r="L14" t="s">
        <v>50</v>
      </c>
      <c r="M14" s="9"/>
      <c r="N14" t="s">
        <v>25</v>
      </c>
      <c r="O14" t="s">
        <v>26</v>
      </c>
      <c r="P14" t="s">
        <v>27</v>
      </c>
      <c r="Q14" s="8">
        <v>420</v>
      </c>
      <c r="R14" s="8">
        <v>2</v>
      </c>
      <c r="S14" t="s">
        <v>28</v>
      </c>
      <c r="T14" s="9"/>
    </row>
    <row r="15" spans="1:20" ht="20.25" customHeight="1" x14ac:dyDescent="0.2">
      <c r="A15" s="6" t="s">
        <v>62</v>
      </c>
      <c r="B15" s="7">
        <v>45342</v>
      </c>
      <c r="C15" t="s">
        <v>63</v>
      </c>
      <c r="D15" t="s">
        <v>46</v>
      </c>
      <c r="E15" t="s">
        <v>22</v>
      </c>
      <c r="F15" t="s">
        <v>54</v>
      </c>
      <c r="G15" t="s">
        <v>24</v>
      </c>
      <c r="H15" s="8">
        <v>11</v>
      </c>
      <c r="I15" s="8">
        <v>22</v>
      </c>
      <c r="J15" s="8">
        <v>10</v>
      </c>
      <c r="M15" s="9"/>
      <c r="N15" t="s">
        <v>64</v>
      </c>
      <c r="O15" t="s">
        <v>26</v>
      </c>
      <c r="P15" t="s">
        <v>27</v>
      </c>
      <c r="Q15" s="8">
        <v>420</v>
      </c>
      <c r="R15" s="8">
        <v>2</v>
      </c>
      <c r="S15" t="s">
        <v>28</v>
      </c>
      <c r="T15" s="8">
        <v>99</v>
      </c>
    </row>
    <row r="16" spans="1:20" ht="20.25" customHeight="1" x14ac:dyDescent="0.2">
      <c r="A16" s="6" t="s">
        <v>65</v>
      </c>
      <c r="B16" s="7">
        <v>45343</v>
      </c>
      <c r="C16" t="s">
        <v>63</v>
      </c>
      <c r="D16" t="s">
        <v>46</v>
      </c>
      <c r="E16" t="s">
        <v>30</v>
      </c>
      <c r="F16" t="s">
        <v>33</v>
      </c>
      <c r="G16" t="s">
        <v>24</v>
      </c>
      <c r="H16" s="8">
        <v>11</v>
      </c>
      <c r="I16" s="8">
        <v>24</v>
      </c>
      <c r="J16" s="8">
        <v>10</v>
      </c>
      <c r="M16" s="8">
        <v>1</v>
      </c>
      <c r="N16" t="s">
        <v>66</v>
      </c>
      <c r="O16" t="s">
        <v>26</v>
      </c>
      <c r="P16" t="s">
        <v>27</v>
      </c>
      <c r="Q16" s="8">
        <v>420</v>
      </c>
      <c r="R16" s="8">
        <v>2</v>
      </c>
      <c r="S16" t="s">
        <v>28</v>
      </c>
      <c r="T16" s="8">
        <v>69</v>
      </c>
    </row>
    <row r="17" spans="1:20" ht="20.25" customHeight="1" x14ac:dyDescent="0.2">
      <c r="A17" s="6" t="s">
        <v>67</v>
      </c>
      <c r="B17" s="7">
        <v>45344</v>
      </c>
      <c r="C17" t="s">
        <v>35</v>
      </c>
      <c r="D17" t="s">
        <v>46</v>
      </c>
      <c r="E17" t="s">
        <v>47</v>
      </c>
      <c r="F17" t="s">
        <v>23</v>
      </c>
      <c r="G17" t="s">
        <v>24</v>
      </c>
      <c r="H17" s="8">
        <v>80</v>
      </c>
      <c r="I17" s="8">
        <v>24</v>
      </c>
      <c r="J17" s="8">
        <v>10</v>
      </c>
      <c r="M17" s="9"/>
      <c r="N17" t="s">
        <v>68</v>
      </c>
      <c r="O17" t="s">
        <v>26</v>
      </c>
      <c r="P17" t="s">
        <v>27</v>
      </c>
      <c r="Q17" s="8">
        <v>500</v>
      </c>
      <c r="R17" s="8">
        <v>2</v>
      </c>
      <c r="S17" t="s">
        <v>28</v>
      </c>
      <c r="T17" s="8">
        <v>126</v>
      </c>
    </row>
    <row r="18" spans="1:20" ht="20.25" customHeight="1" x14ac:dyDescent="0.2">
      <c r="A18" s="6" t="s">
        <v>69</v>
      </c>
      <c r="B18" s="7">
        <v>45345</v>
      </c>
      <c r="C18" t="s">
        <v>63</v>
      </c>
      <c r="D18" t="s">
        <v>46</v>
      </c>
      <c r="E18" t="s">
        <v>22</v>
      </c>
      <c r="F18" t="s">
        <v>23</v>
      </c>
      <c r="G18" t="s">
        <v>24</v>
      </c>
      <c r="H18" s="8">
        <v>55</v>
      </c>
      <c r="I18" s="8">
        <v>68</v>
      </c>
      <c r="J18" s="8">
        <v>10</v>
      </c>
      <c r="M18" s="8">
        <v>38</v>
      </c>
      <c r="N18" t="s">
        <v>70</v>
      </c>
      <c r="O18" t="s">
        <v>26</v>
      </c>
      <c r="P18" t="s">
        <v>27</v>
      </c>
      <c r="Q18" s="8">
        <v>420</v>
      </c>
      <c r="R18" s="8">
        <v>2</v>
      </c>
      <c r="S18" t="s">
        <v>28</v>
      </c>
      <c r="T18" s="9"/>
    </row>
    <row r="19" spans="1:20" ht="20.25" customHeight="1" x14ac:dyDescent="0.2">
      <c r="A19" s="6" t="s">
        <v>71</v>
      </c>
      <c r="B19" s="7">
        <v>45350</v>
      </c>
      <c r="C19" t="s">
        <v>72</v>
      </c>
      <c r="D19" t="s">
        <v>46</v>
      </c>
      <c r="E19" t="s">
        <v>22</v>
      </c>
      <c r="F19" t="s">
        <v>33</v>
      </c>
      <c r="G19" t="s">
        <v>24</v>
      </c>
      <c r="H19" s="8">
        <v>7</v>
      </c>
      <c r="I19" s="8">
        <v>24</v>
      </c>
      <c r="J19" s="8">
        <v>10</v>
      </c>
      <c r="M19" s="8">
        <v>1</v>
      </c>
      <c r="N19" t="s">
        <v>73</v>
      </c>
      <c r="O19" t="s">
        <v>26</v>
      </c>
      <c r="P19" t="s">
        <v>27</v>
      </c>
      <c r="Q19" s="8">
        <v>420</v>
      </c>
      <c r="R19" s="8">
        <v>2</v>
      </c>
      <c r="S19" t="s">
        <v>28</v>
      </c>
      <c r="T19" s="9"/>
    </row>
    <row r="20" spans="1:20" ht="17.25" customHeight="1" x14ac:dyDescent="0.2">
      <c r="A20" s="6" t="s">
        <v>74</v>
      </c>
      <c r="B20" s="7">
        <v>45351</v>
      </c>
      <c r="C20" t="s">
        <v>20</v>
      </c>
      <c r="D20" t="s">
        <v>46</v>
      </c>
      <c r="E20" t="s">
        <v>75</v>
      </c>
      <c r="F20" t="s">
        <v>54</v>
      </c>
      <c r="G20" t="s">
        <v>24</v>
      </c>
      <c r="H20" s="8">
        <v>40</v>
      </c>
      <c r="I20" s="8">
        <v>24</v>
      </c>
      <c r="J20" s="8">
        <v>1</v>
      </c>
      <c r="M20" s="9"/>
      <c r="N20" t="s">
        <v>76</v>
      </c>
      <c r="O20" t="s">
        <v>26</v>
      </c>
      <c r="P20" t="s">
        <v>27</v>
      </c>
      <c r="Q20" s="8">
        <v>400</v>
      </c>
      <c r="R20" s="8">
        <v>2</v>
      </c>
      <c r="S20" t="s">
        <v>77</v>
      </c>
      <c r="T20" s="8">
        <v>104</v>
      </c>
    </row>
    <row r="21" spans="1:20" ht="17.25" customHeight="1" x14ac:dyDescent="0.2">
      <c r="A21" s="6" t="s">
        <v>74</v>
      </c>
      <c r="B21" s="7">
        <v>45351</v>
      </c>
      <c r="C21" t="s">
        <v>20</v>
      </c>
      <c r="D21" t="s">
        <v>46</v>
      </c>
      <c r="E21" t="s">
        <v>75</v>
      </c>
      <c r="F21" t="s">
        <v>54</v>
      </c>
      <c r="G21" t="s">
        <v>24</v>
      </c>
      <c r="H21" s="9" t="s">
        <v>39</v>
      </c>
      <c r="I21" s="10">
        <v>3.5</v>
      </c>
      <c r="J21" s="8">
        <v>1</v>
      </c>
      <c r="M21" s="9"/>
      <c r="N21" t="s">
        <v>76</v>
      </c>
      <c r="O21" t="s">
        <v>26</v>
      </c>
      <c r="P21" t="s">
        <v>27</v>
      </c>
      <c r="Q21" s="8">
        <v>400</v>
      </c>
      <c r="R21" s="8">
        <v>2</v>
      </c>
      <c r="S21" t="s">
        <v>77</v>
      </c>
      <c r="T21" s="9"/>
    </row>
    <row r="22" spans="1:20" ht="17.25" customHeight="1" x14ac:dyDescent="0.2">
      <c r="A22" s="6" t="s">
        <v>78</v>
      </c>
      <c r="B22" s="7">
        <v>45352</v>
      </c>
      <c r="C22" t="s">
        <v>72</v>
      </c>
      <c r="D22" t="s">
        <v>46</v>
      </c>
      <c r="E22" t="s">
        <v>47</v>
      </c>
      <c r="F22" t="s">
        <v>79</v>
      </c>
      <c r="G22" t="s">
        <v>24</v>
      </c>
      <c r="H22" s="8">
        <v>240</v>
      </c>
      <c r="I22" s="8">
        <v>66</v>
      </c>
      <c r="J22" s="8">
        <v>10</v>
      </c>
      <c r="M22" s="8">
        <v>1</v>
      </c>
      <c r="N22" t="s">
        <v>70</v>
      </c>
      <c r="O22" t="s">
        <v>26</v>
      </c>
      <c r="P22" t="s">
        <v>27</v>
      </c>
      <c r="Q22" s="8">
        <v>420</v>
      </c>
      <c r="R22" s="8">
        <v>2</v>
      </c>
      <c r="S22" t="s">
        <v>28</v>
      </c>
      <c r="T22" s="9"/>
    </row>
    <row r="23" spans="1:20" ht="17.25" customHeight="1" x14ac:dyDescent="0.2">
      <c r="A23" s="6" t="s">
        <v>80</v>
      </c>
      <c r="B23" s="7">
        <v>45358</v>
      </c>
      <c r="C23" t="s">
        <v>20</v>
      </c>
      <c r="D23" t="s">
        <v>46</v>
      </c>
      <c r="E23" t="s">
        <v>47</v>
      </c>
      <c r="F23" t="s">
        <v>23</v>
      </c>
      <c r="G23" t="s">
        <v>24</v>
      </c>
      <c r="H23" s="8">
        <v>25</v>
      </c>
      <c r="I23" s="8">
        <v>24</v>
      </c>
      <c r="J23" s="8">
        <v>10</v>
      </c>
      <c r="M23" s="9"/>
      <c r="N23" t="s">
        <v>25</v>
      </c>
      <c r="O23" t="s">
        <v>26</v>
      </c>
      <c r="P23" t="s">
        <v>27</v>
      </c>
      <c r="Q23" s="8">
        <v>420</v>
      </c>
      <c r="R23" s="8">
        <v>2</v>
      </c>
      <c r="S23" t="s">
        <v>28</v>
      </c>
      <c r="T23" s="8">
        <v>101</v>
      </c>
    </row>
    <row r="24" spans="1:20" ht="17.25" customHeight="1" x14ac:dyDescent="0.2">
      <c r="A24" s="6" t="s">
        <v>81</v>
      </c>
      <c r="B24" s="7">
        <v>45359</v>
      </c>
      <c r="C24" t="s">
        <v>63</v>
      </c>
      <c r="D24" t="s">
        <v>46</v>
      </c>
      <c r="E24" t="s">
        <v>47</v>
      </c>
      <c r="F24" t="s">
        <v>54</v>
      </c>
      <c r="G24" t="s">
        <v>24</v>
      </c>
      <c r="H24" s="8">
        <v>20</v>
      </c>
      <c r="I24" s="8">
        <v>67</v>
      </c>
      <c r="J24" s="8">
        <v>10</v>
      </c>
      <c r="M24" s="9"/>
      <c r="N24" t="s">
        <v>70</v>
      </c>
      <c r="O24" t="s">
        <v>26</v>
      </c>
      <c r="P24" t="s">
        <v>27</v>
      </c>
      <c r="Q24" s="8">
        <v>420</v>
      </c>
      <c r="R24" s="8">
        <v>2</v>
      </c>
      <c r="S24" t="s">
        <v>28</v>
      </c>
      <c r="T24" s="8">
        <v>102</v>
      </c>
    </row>
    <row r="25" spans="1:20" ht="17.25" customHeight="1" x14ac:dyDescent="0.2">
      <c r="A25" s="6" t="s">
        <v>82</v>
      </c>
      <c r="B25" s="7">
        <v>45372</v>
      </c>
      <c r="C25" t="s">
        <v>35</v>
      </c>
      <c r="D25" t="s">
        <v>46</v>
      </c>
      <c r="E25" t="s">
        <v>83</v>
      </c>
      <c r="F25" t="s">
        <v>54</v>
      </c>
      <c r="G25" t="s">
        <v>48</v>
      </c>
      <c r="H25" s="8">
        <v>75</v>
      </c>
      <c r="I25" s="8">
        <v>24</v>
      </c>
      <c r="J25" s="10">
        <v>1.25</v>
      </c>
      <c r="M25" s="9"/>
      <c r="N25" t="s">
        <v>84</v>
      </c>
      <c r="O25" t="s">
        <v>26</v>
      </c>
      <c r="P25" t="s">
        <v>27</v>
      </c>
      <c r="Q25" s="8">
        <v>250</v>
      </c>
      <c r="R25" s="10">
        <v>0.75</v>
      </c>
      <c r="S25" t="s">
        <v>28</v>
      </c>
      <c r="T25" s="8">
        <v>229</v>
      </c>
    </row>
    <row r="26" spans="1:20" ht="17.25" customHeight="1" x14ac:dyDescent="0.2">
      <c r="A26" s="6" t="s">
        <v>85</v>
      </c>
      <c r="B26" s="7">
        <v>45385</v>
      </c>
      <c r="C26" t="s">
        <v>20</v>
      </c>
      <c r="D26" t="s">
        <v>46</v>
      </c>
      <c r="E26" t="s">
        <v>83</v>
      </c>
      <c r="F26" t="s">
        <v>33</v>
      </c>
      <c r="G26" t="s">
        <v>24</v>
      </c>
      <c r="H26" s="8">
        <f>4*60+17</f>
        <v>257</v>
      </c>
      <c r="I26" s="10">
        <v>21.5</v>
      </c>
      <c r="J26" s="8">
        <v>1</v>
      </c>
      <c r="K26" t="s">
        <v>86</v>
      </c>
      <c r="L26" t="s">
        <v>50</v>
      </c>
      <c r="M26" s="9"/>
      <c r="N26" t="s">
        <v>87</v>
      </c>
      <c r="O26" t="s">
        <v>26</v>
      </c>
      <c r="P26" t="s">
        <v>88</v>
      </c>
      <c r="Q26" s="8">
        <v>350</v>
      </c>
      <c r="R26" s="10">
        <v>1.85</v>
      </c>
      <c r="S26" t="s">
        <v>28</v>
      </c>
      <c r="T26" s="8">
        <v>108</v>
      </c>
    </row>
    <row r="27" spans="1:20" ht="17.25" customHeight="1" x14ac:dyDescent="0.2">
      <c r="A27" s="6" t="s">
        <v>89</v>
      </c>
      <c r="B27" s="7">
        <v>45397</v>
      </c>
      <c r="C27" t="s">
        <v>20</v>
      </c>
      <c r="D27" t="s">
        <v>46</v>
      </c>
      <c r="E27" t="s">
        <v>22</v>
      </c>
      <c r="F27" t="s">
        <v>54</v>
      </c>
      <c r="G27" t="s">
        <v>24</v>
      </c>
      <c r="H27" s="8">
        <v>12</v>
      </c>
      <c r="I27" s="8">
        <v>24</v>
      </c>
      <c r="J27" s="8">
        <v>10</v>
      </c>
      <c r="M27" s="9"/>
      <c r="N27" t="s">
        <v>90</v>
      </c>
      <c r="O27" t="s">
        <v>26</v>
      </c>
      <c r="P27" t="s">
        <v>27</v>
      </c>
      <c r="Q27" s="8">
        <v>350</v>
      </c>
      <c r="R27" s="8">
        <v>2</v>
      </c>
      <c r="S27" t="s">
        <v>28</v>
      </c>
      <c r="T27" s="8">
        <v>116</v>
      </c>
    </row>
    <row r="28" spans="1:20" ht="17.25" customHeight="1" x14ac:dyDescent="0.2">
      <c r="A28" s="6" t="s">
        <v>89</v>
      </c>
      <c r="B28" s="7">
        <v>45397</v>
      </c>
      <c r="C28" t="s">
        <v>63</v>
      </c>
      <c r="D28" t="s">
        <v>46</v>
      </c>
      <c r="E28" t="s">
        <v>22</v>
      </c>
      <c r="F28" t="s">
        <v>54</v>
      </c>
      <c r="G28" t="s">
        <v>24</v>
      </c>
      <c r="H28" s="8">
        <f>24*60+32</f>
        <v>1472</v>
      </c>
      <c r="I28" s="8">
        <v>23</v>
      </c>
      <c r="J28" s="8">
        <v>10</v>
      </c>
      <c r="L28" t="s">
        <v>50</v>
      </c>
      <c r="M28" s="9"/>
      <c r="N28" t="s">
        <v>91</v>
      </c>
      <c r="O28" t="s">
        <v>26</v>
      </c>
      <c r="P28" t="s">
        <v>27</v>
      </c>
      <c r="Q28" s="8">
        <v>350</v>
      </c>
      <c r="R28" s="8">
        <v>2</v>
      </c>
      <c r="S28" t="s">
        <v>28</v>
      </c>
      <c r="T28" s="8">
        <v>108</v>
      </c>
    </row>
    <row r="29" spans="1:20" ht="17.25" customHeight="1" x14ac:dyDescent="0.2">
      <c r="A29" s="6" t="s">
        <v>92</v>
      </c>
      <c r="B29" s="7">
        <v>45411</v>
      </c>
      <c r="C29" t="s">
        <v>72</v>
      </c>
      <c r="D29" t="s">
        <v>46</v>
      </c>
      <c r="E29" t="s">
        <v>93</v>
      </c>
      <c r="F29" t="s">
        <v>38</v>
      </c>
      <c r="G29" t="s">
        <v>24</v>
      </c>
      <c r="H29" s="8">
        <v>70</v>
      </c>
      <c r="I29" s="8">
        <v>23</v>
      </c>
      <c r="J29" s="8">
        <v>10</v>
      </c>
      <c r="M29" s="9"/>
      <c r="N29" t="s">
        <v>94</v>
      </c>
      <c r="O29" t="s">
        <v>26</v>
      </c>
      <c r="P29" t="s">
        <v>27</v>
      </c>
      <c r="Q29" s="8">
        <v>420</v>
      </c>
      <c r="R29" s="8">
        <v>2</v>
      </c>
      <c r="S29" t="s">
        <v>28</v>
      </c>
      <c r="T29" s="8">
        <v>90</v>
      </c>
    </row>
    <row r="30" spans="1:20" ht="17.25" customHeight="1" x14ac:dyDescent="0.2">
      <c r="A30" s="6" t="s">
        <v>92</v>
      </c>
      <c r="B30" s="7">
        <v>45411</v>
      </c>
      <c r="C30" t="s">
        <v>72</v>
      </c>
      <c r="D30" t="s">
        <v>46</v>
      </c>
      <c r="E30" t="s">
        <v>93</v>
      </c>
      <c r="F30" t="s">
        <v>38</v>
      </c>
      <c r="G30" t="s">
        <v>24</v>
      </c>
      <c r="H30" s="8">
        <f>24*60 + 20</f>
        <v>1460</v>
      </c>
      <c r="I30" s="8">
        <v>23</v>
      </c>
      <c r="J30" s="8">
        <v>10</v>
      </c>
      <c r="M30" s="9"/>
      <c r="N30" t="s">
        <v>95</v>
      </c>
      <c r="O30" t="s">
        <v>26</v>
      </c>
      <c r="P30" t="s">
        <v>27</v>
      </c>
      <c r="Q30" s="8">
        <v>420</v>
      </c>
      <c r="R30" s="8">
        <v>2</v>
      </c>
      <c r="S30" t="s">
        <v>28</v>
      </c>
      <c r="T30" s="9"/>
    </row>
    <row r="31" spans="1:20" ht="17.25" customHeight="1" x14ac:dyDescent="0.2">
      <c r="A31" s="6" t="s">
        <v>92</v>
      </c>
      <c r="B31" s="7">
        <v>45411</v>
      </c>
      <c r="C31" t="s">
        <v>72</v>
      </c>
      <c r="D31" t="s">
        <v>46</v>
      </c>
      <c r="E31" t="s">
        <v>93</v>
      </c>
      <c r="F31" t="s">
        <v>38</v>
      </c>
      <c r="G31" t="s">
        <v>24</v>
      </c>
      <c r="H31" s="8">
        <f>48*60 + 35</f>
        <v>2915</v>
      </c>
      <c r="I31" s="8">
        <v>16</v>
      </c>
      <c r="J31" s="8">
        <v>10</v>
      </c>
      <c r="M31" s="9"/>
      <c r="O31" t="s">
        <v>26</v>
      </c>
      <c r="P31" t="s">
        <v>27</v>
      </c>
      <c r="Q31" s="8">
        <v>420</v>
      </c>
      <c r="R31" s="8">
        <v>2</v>
      </c>
      <c r="S31" t="s">
        <v>28</v>
      </c>
      <c r="T3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Rao, Ankit Padmanabha (cdw4yv)</cp:lastModifiedBy>
  <dcterms:created xsi:type="dcterms:W3CDTF">2026-06-02T18:33:57Z</dcterms:created>
  <dcterms:modified xsi:type="dcterms:W3CDTF">2026-06-02T18:36:48Z</dcterms:modified>
</cp:coreProperties>
</file>